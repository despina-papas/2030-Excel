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f1a4f84a547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rechnung" sheetId="1" r:id="R941f28c9effd483e"/>
    <x:sheet xmlns:r="http://schemas.openxmlformats.org/officeDocument/2006/relationships" name="Auftrag" sheetId="2" r:id="R3f2edd84588c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574bddee6e4a4f" /><Relationship Type="http://schemas.openxmlformats.org/officeDocument/2006/relationships/theme" Target="/xl/theme/theme1.xml" Id="R6c253dc3cf594e38" /><Relationship Type="http://schemas.openxmlformats.org/officeDocument/2006/relationships/sharedStrings" Target="/xl/sharedStrings.xml" Id="Rb581169110e34375" /><Relationship Type="http://schemas.openxmlformats.org/officeDocument/2006/relationships/worksheet" Target="/xl/worksheets/sheet1.xml" Id="R941f28c9effd483e" /><Relationship Type="http://schemas.openxmlformats.org/officeDocument/2006/relationships/worksheet" Target="/xl/worksheets/sheet2.xml" Id="R3f2edd84588c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030000686645508" hidden="0" customWidth="1"/>
    <x:col min="2" max="2" width="7.809999942779541" hidden="0" customWidth="1"/>
    <x:col min="3" max="3" width="5.650000095367432" hidden="0" customWidth="1"/>
    <x:col min="4" max="4" width="6.860000133514404" hidden="0" customWidth="1"/>
    <x:col min="5" max="5" width="14" hidden="0" customWidth="1"/>
    <x:col min="6" max="6" width="9.149999618530273" hidden="0" customWidth="1"/>
    <x:col min="7" max="7" width="14.670000076293945" hidden="0" customWidth="1"/>
  </x:cols>
  <x:sheetData>
    <x:row r="1">
      <x:c r="A1" s="6" t="str">
        <x:v>Position</x:v>
      </x:c>
      <x:c r="B1" s="6" t="str">
        <x:v>Kategorie</x:v>
      </x:c>
      <x:c r="C1" s="6" t="str">
        <x:v>Menge</x:v>
      </x:c>
      <x:c r="D1" s="6" t="str">
        <x:v>Einheit</x:v>
      </x:c>
      <x:c r="E1" s="6" t="str">
        <x:v>Einzelpreis CHF</x:v>
      </x:c>
      <x:c r="F1" s="6" t="str">
        <x:v>Kosten CHF</x:v>
      </x:c>
      <x:c r="G1" s="6" t="str">
        <x:v>Hinweis</x:v>
      </x:c>
    </x:row>
    <x:row r="2">
      <x:c r="A2" s="2" t="str">
        <x:v>Eiche Massivholzplatte</x:v>
      </x:c>
      <x:c r="B2" s="2" t="str">
        <x:v>Material</x:v>
      </x:c>
      <x:c r="C2" s="2" t="n">
        <x:v>2</x:v>
      </x:c>
      <x:c r="D2" s="2" t="str">
        <x:v>Stk</x:v>
      </x:c>
      <x:c r="E2" s="2" t="n">
        <x:v>185</x:v>
      </x:c>
      <x:c r="F2" s="2" t="n">
        <x:f>C2*E2</x:f>
        <x:v>370</x:v>
      </x:c>
      <x:c r="G2" s="2" t="str">
        <x:v>Formel einsetzen</x:v>
      </x:c>
    </x:row>
    <x:row r="3">
      <x:c r="A3" s="2" t="str">
        <x:v>Lüftungsgitter</x:v>
      </x:c>
      <x:c r="B3" s="2" t="str">
        <x:v>Material</x:v>
      </x:c>
      <x:c r="C3" s="2" t="n">
        <x:v>1</x:v>
      </x:c>
      <x:c r="D3" s="2" t="str">
        <x:v>Stk</x:v>
      </x:c>
      <x:c r="E3" s="2" t="n">
        <x:v>64.5</x:v>
      </x:c>
      <x:c r="F3" s="2" t="n">
        <x:f>C3*E3</x:f>
        <x:v>64.5</x:v>
      </x:c>
      <x:c r="G3" s="2" t="str">
        <x:v>Formel einsetzen</x:v>
      </x:c>
    </x:row>
    <x:row r="4">
      <x:c r="A4" s="2" t="str">
        <x:v>Kante Ast-Eiche</x:v>
      </x:c>
      <x:c r="B4" s="2" t="str">
        <x:v>Material</x:v>
      </x:c>
      <x:c r="C4" s="2" t="n">
        <x:v>4.6</x:v>
      </x:c>
      <x:c r="D4" s="2" t="str">
        <x:v>m</x:v>
      </x:c>
      <x:c r="E4" s="2" t="n">
        <x:v>8.9</x:v>
      </x:c>
      <x:c r="F4" s="2" t="n">
        <x:f>C4*E4</x:f>
        <x:v>40.94</x:v>
      </x:c>
      <x:c r="G4" s="2" t="str">
        <x:v>Formel einsetzen</x:v>
      </x:c>
    </x:row>
    <x:row r="5">
      <x:c r="A5" s="2" t="str">
        <x:v>Oberflächenmaterial</x:v>
      </x:c>
      <x:c r="B5" s="2" t="str">
        <x:v>Material</x:v>
      </x:c>
      <x:c r="C5" s="2" t="n">
        <x:v>1</x:v>
      </x:c>
      <x:c r="D5" s="2" t="str">
        <x:v>Set</x:v>
      </x:c>
      <x:c r="E5" s="2" t="n">
        <x:v>38</x:v>
      </x:c>
      <x:c r="F5" s="2" t="n">
        <x:f>C5*E5</x:f>
        <x:v>38</x:v>
      </x:c>
      <x:c r="G5" s="2" t="str">
        <x:v>Formel einsetzen</x:v>
      </x:c>
    </x:row>
    <x:row r="6">
      <x:c r="A6" s="2" t="str">
        <x:v>Fertigung Variante 1</x:v>
      </x:c>
      <x:c r="B6" s="2" t="str">
        <x:v>Fertigung</x:v>
      </x:c>
      <x:c r="C6" s="2" t="n">
        <x:v>1.5</x:v>
      </x:c>
      <x:c r="D6" s="2" t="str">
        <x:v>h</x:v>
      </x:c>
      <x:c r="E6" s="2" t="n">
        <x:v>125</x:v>
      </x:c>
      <x:c r="F6" s="2" t="n">
        <x:f>C6*E6</x:f>
        <x:v>187.5</x:v>
      </x:c>
      <x:c r="G6" s="2" t="str">
        <x:v>Zeit × Stundensatz</x:v>
      </x:c>
    </x:row>
    <x:row r="7">
      <x:c r="A7" s="2" t="str">
        <x:v>Transportpauschale</x:v>
      </x:c>
      <x:c r="B7" s="2" t="str">
        <x:v>Transport</x:v>
      </x:c>
      <x:c r="C7" s="2" t="n">
        <x:v>1</x:v>
      </x:c>
      <x:c r="D7" s="2" t="str">
        <x:v>Pauschal</x:v>
      </x:c>
      <x:c r="E7" s="2" t="n">
        <x:v>45</x:v>
      </x:c>
      <x:c r="F7" s="2" t="n">
        <x:f>C7*E7</x:f>
        <x:v>45</x:v>
      </x:c>
      <x:c r="G7" s="2" t="str">
        <x:v>Formel einsetzen</x:v>
      </x:c>
    </x:row>
    <x:row r="8">
      <x:c r="A8" s="2" t="str"/>
      <x:c r="B8" s="2" t="str"/>
      <x:c r="C8" s="2" t="str"/>
      <x:c r="D8" s="2" t="str"/>
      <x:c r="E8" s="8" t="str">
        <x:v>Gesamttotal</x:v>
      </x:c>
      <x:c r="F8" s="8" t="n">
        <x:f>SUM(F2:F7)</x:f>
        <x:v>745.94</x:v>
      </x:c>
      <x:c r="G8" s="2" t="str"/>
    </x:row>
    <x:row r="9">
      <x:c r="A9" s="2" t="str"/>
      <x:c r="B9" s="2" t="str"/>
      <x:c r="C9" s="2" t="str"/>
      <x:c r="D9" s="2" t="str"/>
      <x:c r="E9" s="8" t="str">
        <x:v>Teuerste Position</x:v>
      </x:c>
      <x:c r="F9" s="8" t="n">
        <x:f>MAX(F2:F7)</x:f>
        <x:v>370</x:v>
      </x:c>
      <x:c r="G9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960000038146973" hidden="0" customWidth="1"/>
    <x:col min="2" max="2" width="60.70000076293945" hidden="0" customWidth="1"/>
  </x:cols>
  <x:sheetData>
    <x:row r="1">
      <x:c r="A1" s="6" t="str">
        <x:v>Kurzauftrag</x:v>
      </x:c>
      <x:c r="B1" s="6" t="str"/>
    </x:row>
    <x:row r="2">
      <x:c r="A2" s="2" t="str">
        <x:v>1</x:v>
      </x:c>
      <x:c r="B2" s="2" t="str">
        <x:v>Berechnen Sie alle Kosten pro Position.</x:v>
      </x:c>
    </x:row>
    <x:row r="3">
      <x:c r="A3" s="2" t="str">
        <x:v>2</x:v>
      </x:c>
      <x:c r="B3" s="2" t="str">
        <x:v>Berechnen Sie das Gesamttotal mit einer Funktion.</x:v>
      </x:c>
    </x:row>
    <x:row r="4">
      <x:c r="A4" s="2" t="str">
        <x:v>3</x:v>
      </x:c>
      <x:c r="B4" s="2" t="str">
        <x:v>Bestimmen Sie optional die teuerste Position.</x:v>
      </x:c>
    </x:row>
    <x:row r="5">
      <x:c r="A5" s="2" t="str">
        <x:v>4</x:v>
      </x:c>
      <x:c r="B5" s="2" t="str">
        <x:v>Kontrollieren Sie, ob Material- und Fertigungskosten korrekt berechnet sind.</x:v>
      </x:c>
    </x:row>
    <x:row r="6">
      <x:c r="A6" s="2" t="str">
        <x:v>Niveau Grün</x:v>
      </x:c>
      <x:c r="B6" s="2" t="str">
        <x:v>Einfache Zellbezüge und SUMME einsetzen.</x:v>
      </x:c>
    </x:row>
    <x:row r="7">
      <x:c r="A7" s="2" t="str">
        <x:v>Niveau Gelb</x:v>
      </x:c>
      <x:c r="B7" s="2" t="str">
        <x:v>Zusätzlich MIN, MAX oder MITTELWERT verwenden.</x:v>
      </x:c>
    </x:row>
    <x:row r="8">
      <x:c r="A8" s="2" t="str">
        <x:v>Niveau Rot</x:v>
      </x:c>
      <x:c r="B8" s="2" t="str">
        <x:v>Resultate interpretieren und begründen.</x:v>
      </x:c>
    </x:row>
  </x:sheetData>
  <x:pageMargins left="0.7" right="0.7" top="0.75" bottom="0.75" header="0.3" footer="0.3"/>
</x:worksheet>
</file>